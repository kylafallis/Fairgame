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 Tracker" sheetId="1" state="visible" r:id="rId3"/>
    <sheet name="Dashboard" sheetId="2" state="visible" r:id="rId4"/>
    <sheet name="Student Cop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<sst xmlns="http://schemas.openxmlformats.org/spreadsheetml/2006/main" count="83" uniqueCount="71">
  <si>
    <t xml:space="preserve">FAIRGAME INITIATIVE  |  VISUAL CLASSROOM PROGRESS TRACKER</t>
  </si>
  <si>
    <t xml:space="preserve">Pick a status from the dropdown in each cell. Cells colour themselves: green for done, yellow for in progress, salmon for stuck. The Done column and class percentage update automatically, and the Dashboard tab summarises where the whole class sits.</t>
  </si>
  <si>
    <t xml:space="preserve">#</t>
  </si>
  <si>
    <t xml:space="preserve">Student name</t>
  </si>
  <si>
    <t xml:space="preserve">Topic chosen</t>
  </si>
  <si>
    <t xml:space="preserve">Question testable</t>
  </si>
  <si>
    <t xml:space="preserve">Research done</t>
  </si>
  <si>
    <t xml:space="preserve">Hypothesis written</t>
  </si>
  <si>
    <t xml:space="preserve">Design approved</t>
  </si>
  <si>
    <t xml:space="preserve">Safety signed</t>
  </si>
  <si>
    <t xml:space="preserve">Data collection</t>
  </si>
  <si>
    <t xml:space="preserve">Data analysed</t>
  </si>
  <si>
    <t xml:space="preserve">Graph built</t>
  </si>
  <si>
    <t xml:space="preserve">Conclusion written</t>
  </si>
  <si>
    <t xml:space="preserve">Board built</t>
  </si>
  <si>
    <t xml:space="preserve">Presented</t>
  </si>
  <si>
    <t xml:space="preserve">Done</t>
  </si>
  <si>
    <t xml:space="preserve">Percent</t>
  </si>
  <si>
    <t xml:space="preserve">Wk 1-2</t>
  </si>
  <si>
    <t xml:space="preserve">Wk 2-3</t>
  </si>
  <si>
    <t xml:space="preserve">Wk 3-4</t>
  </si>
  <si>
    <t xml:space="preserve">Wk 4-5</t>
  </si>
  <si>
    <t xml:space="preserve">Wk 5-6</t>
  </si>
  <si>
    <t xml:space="preserve">Wk 6</t>
  </si>
  <si>
    <t xml:space="preserve">Wk 7-9</t>
  </si>
  <si>
    <t xml:space="preserve">Wk 10</t>
  </si>
  <si>
    <t xml:space="preserve">Wk 10-11</t>
  </si>
  <si>
    <t xml:space="preserve">Wk 11-12</t>
  </si>
  <si>
    <t xml:space="preserve">Wk 12-13</t>
  </si>
  <si>
    <t xml:space="preserve">Wk 13-14</t>
  </si>
  <si>
    <t xml:space="preserve">of 12</t>
  </si>
  <si>
    <t xml:space="preserve">complete</t>
  </si>
  <si>
    <t xml:space="preserve">CLASS DONE</t>
  </si>
  <si>
    <t xml:space="preserve">CLASS STUCK</t>
  </si>
  <si>
    <t xml:space="preserve">FAIRGAME INITIATIVE  |  CLASS DASHBOARD</t>
  </si>
  <si>
    <t xml:space="preserve">Everything here reads from the Class Tracker tab. Nothing to fill in.</t>
  </si>
  <si>
    <t xml:space="preserve">PHASE</t>
  </si>
  <si>
    <t xml:space="preserve">DONE</t>
  </si>
  <si>
    <t xml:space="preserve">IN PROGRESS</t>
  </si>
  <si>
    <t xml:space="preserve">STUCK</t>
  </si>
  <si>
    <t xml:space="preserve">NOT STARTED</t>
  </si>
  <si>
    <t xml:space="preserve">CLASS COMPLETE</t>
  </si>
  <si>
    <t xml:space="preserve">Topic chosen  (Wk 1-2)</t>
  </si>
  <si>
    <t xml:space="preserve">Question testable  (Wk 2-3)</t>
  </si>
  <si>
    <t xml:space="preserve">Research done  (Wk 3-4)</t>
  </si>
  <si>
    <t xml:space="preserve">Hypothesis written  (Wk 4-5)</t>
  </si>
  <si>
    <t xml:space="preserve">Design approved  (Wk 5-6)</t>
  </si>
  <si>
    <t xml:space="preserve">Safety signed  (Wk 6)</t>
  </si>
  <si>
    <t xml:space="preserve">Data collection  (Wk 7-9)</t>
  </si>
  <si>
    <t xml:space="preserve">Data analysed  (Wk 10)</t>
  </si>
  <si>
    <t xml:space="preserve">Graph built  (Wk 10-11)</t>
  </si>
  <si>
    <t xml:space="preserve">Conclusion written  (Wk 11-12)</t>
  </si>
  <si>
    <t xml:space="preserve">Board built  (Wk 12-13)</t>
  </si>
  <si>
    <t xml:space="preserve">Presented  (Wk 13-14)</t>
  </si>
  <si>
    <t xml:space="preserve">AT A GLANCE</t>
  </si>
  <si>
    <t xml:space="preserve">Students on the roster</t>
  </si>
  <si>
    <t xml:space="preserve">Students fully finished</t>
  </si>
  <si>
    <t xml:space="preserve">Students flagged stuck anywhere</t>
  </si>
  <si>
    <t xml:space="preserve">Average completion</t>
  </si>
  <si>
    <t xml:space="preserve">HOW TO USE THIS</t>
  </si>
  <si>
    <t xml:space="preserve">- Update the tracker once a week, at the same point in the week.</t>
  </si>
  <si>
    <t xml:space="preserve">- Any cell showing Stuck is a conversation, not a grade. Talk to that student before the next milestone.</t>
  </si>
  <si>
    <t xml:space="preserve">- A phase where the Stuck count climbs usually means the whole class needs reteaching, not individual help.</t>
  </si>
  <si>
    <t xml:space="preserve">- Project this dashboard for the class. Students work harder when the class picture is visible.</t>
  </si>
  <si>
    <t xml:space="preserve">FAIRGAME INITIATIVE  |  MY PROJECT TRACKER</t>
  </si>
  <si>
    <t xml:space="preserve">Print one per student, or share the file. Students tick their own progress and write their own target dates.</t>
  </si>
  <si>
    <t xml:space="preserve">Name:</t>
  </si>
  <si>
    <t xml:space="preserve">STEP</t>
  </si>
  <si>
    <t xml:space="preserve">TARGET DATE</t>
  </si>
  <si>
    <t xml:space="preserve">STATUS</t>
  </si>
  <si>
    <t xml:space="preserve">MY NOTE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</si>
</sst>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M Sans"/>
      <family val="0"/>
      <charset val="1"/>
    </font>
    <font>
      <i val="true"/>
      <sz val="9"/>
      <color rgb="FF6B756B"/>
      <name val="DM Sans"/>
      <family val="0"/>
      <charset val="1"/>
    </font>
    <font>
      <b val="true"/>
      <sz val="9"/>
      <color rgb="FFFFFFFF"/>
      <name val="DM Sans"/>
      <family val="0"/>
      <charset val="1"/>
    </font>
    <font>
      <sz val="8"/>
      <color rgb="FFFFFFFF"/>
      <name val="DM Sans"/>
      <family val="0"/>
      <charset val="1"/>
    </font>
    <font>
      <sz val="9"/>
      <color rgb="FF6B756B"/>
      <name val="DM Sans"/>
      <family val="0"/>
      <charset val="1"/>
    </font>
    <font>
      <sz val="10"/>
      <color rgb="FF0000FF"/>
      <name val="DM Sans"/>
      <family val="0"/>
      <charset val="1"/>
    </font>
    <font>
      <sz val="9"/>
      <name val="DM Sans"/>
      <family val="0"/>
      <charset val="1"/>
    </font>
    <font>
      <b val="true"/>
      <sz val="10"/>
      <color rgb="FF1C3A1C"/>
      <name val="DM Sans"/>
      <family val="0"/>
      <charset val="1"/>
    </font>
    <font>
      <sz val="10"/>
      <name val="DM Sans"/>
      <family val="0"/>
      <charset val="1"/>
    </font>
    <font>
      <b val="true"/>
      <sz val="10"/>
      <color rgb="FFE0615A"/>
      <name val="DM Sans"/>
      <family val="0"/>
      <charset val="1"/>
    </font>
    <font>
      <sz val="10"/>
      <color rgb="FF1A1E1A"/>
      <name val="DM Sans"/>
      <family val="0"/>
      <charset val="1"/>
    </font>
    <font>
      <b val="true"/>
      <sz val="11"/>
      <color rgb="FF1C3A1C"/>
      <name val="DM Sans"/>
      <family val="0"/>
      <charset val="1"/>
    </font>
    <font>
      <b val="true"/>
      <sz val="10"/>
      <color rgb="FF357A38"/>
      <name val="DM Sans"/>
      <family val="0"/>
      <charset val="1"/>
    </font>
    <font>
      <sz val="9"/>
      <color rgb="FF254F25"/>
      <name val="DM Sa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C3A1C"/>
        <bgColor rgb="FF254F25"/>
      </patternFill>
    </fill>
    <fill>
      <patternFill patternType="solid">
        <fgColor rgb="FF357A38"/>
        <bgColor rgb="FF6B756B"/>
      </patternFill>
    </fill>
    <fill>
      <patternFill patternType="solid">
        <fgColor rgb="FF254F25"/>
        <bgColor rgb="FF1C3A1C"/>
      </patternFill>
    </fill>
    <fill>
      <patternFill patternType="solid">
        <fgColor rgb="FFE8F5E9"/>
        <bgColor rgb="FFF2F4F2"/>
      </patternFill>
    </fill>
    <fill>
      <patternFill patternType="solid">
        <fgColor rgb="FFFBD9D7"/>
        <bgColor rgb="FFFDF0CE"/>
      </patternFill>
    </fill>
    <fill>
      <patternFill patternType="solid">
        <fgColor rgb="FFF1FAF2"/>
        <bgColor rgb="FFF2F4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C8"/>
      </left>
      <right style="thin">
        <color rgb="FFC8CEC8"/>
      </right>
      <top style="thin">
        <color rgb="FFC8CEC8"/>
      </top>
      <bottom style="thin">
        <color rgb="FFC8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DM Sans"/>
        <charset val="1"/>
        <family val="0"/>
        <b val="1"/>
        <color rgb="FF254F25"/>
        <sz val="9"/>
      </font>
      <fill>
        <patternFill>
          <bgColor rgb="FFC9E7CB"/>
        </patternFill>
      </fill>
    </dxf>
    <dxf>
      <font>
        <name val="DM Sans"/>
        <charset val="1"/>
        <family val="0"/>
        <color rgb="FF8A6A12"/>
        <sz val="9"/>
      </font>
      <fill>
        <patternFill>
          <bgColor rgb="FFFDF0CE"/>
        </patternFill>
      </fill>
    </dxf>
    <dxf>
      <font>
        <name val="DM Sans"/>
        <charset val="1"/>
        <family val="0"/>
        <b val="1"/>
        <color rgb="FFE0615A"/>
        <sz val="9"/>
      </font>
      <fill>
        <patternFill>
          <bgColor rgb="FFFBD9D7"/>
        </patternFill>
      </fill>
    </dxf>
    <dxf>
      <font>
        <name val="DM Sans"/>
        <charset val="1"/>
        <family val="0"/>
        <color rgb="FF6B756B"/>
        <sz val="9"/>
      </font>
      <fill>
        <patternFill>
          <bgColor rgb="FFF2F4F2"/>
        </patternFill>
      </fill>
    </dxf>
    <dxf>
      <font>
        <name val="DM Sans"/>
        <charset val="1"/>
        <family val="0"/>
        <b val="1"/>
        <color rgb="FFE0615A"/>
        <sz val="10"/>
      </font>
      <fill>
        <patternFill>
          <bgColor rgb="FFFBD9D7"/>
        </patternFill>
      </fill>
    </dxf>
    <dxf>
      <font>
        <name val="DM Sans"/>
        <charset val="1"/>
        <family val="0"/>
        <b val="1"/>
        <color rgb="FF254F25"/>
        <sz val="10"/>
      </font>
      <fill>
        <patternFill>
          <bgColor rgb="FFC9E7CB"/>
        </patternFill>
      </fill>
    </dxf>
    <dxf>
      <font>
        <name val="DM Sans"/>
        <charset val="1"/>
        <family val="0"/>
        <color rgb="FF8A6A12"/>
        <sz val="10"/>
      </font>
      <fill>
        <patternFill>
          <bgColor rgb="FFFDF0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12"/>
      <rgbColor rgb="FF800080"/>
      <rgbColor rgb="FF008080"/>
      <rgbColor rgb="FFC8CEC8"/>
      <rgbColor rgb="FF6B756B"/>
      <rgbColor rgb="FF9999FF"/>
      <rgbColor rgb="FF993366"/>
      <rgbColor rgb="FFFDF0CE"/>
      <rgbColor rgb="FFE8F5E9"/>
      <rgbColor rgb="FF660066"/>
      <rgbColor rgb="FFE0615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AF2"/>
      <rgbColor rgb="FFC9E7CB"/>
      <rgbColor rgb="FFF2F4F2"/>
      <rgbColor rgb="FF99CCFF"/>
      <rgbColor rgb="FFFF99CC"/>
      <rgbColor rgb="FFCC99FF"/>
      <rgbColor rgb="FFFBD9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57A38"/>
      <rgbColor rgb="FF254F25"/>
      <rgbColor rgb="FF1A1E1A"/>
      <rgbColor rgb="FF993300"/>
      <rgbColor rgb="FF993366"/>
      <rgbColor rgb="FF333399"/>
      <rgbColor rgb="FF1C3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14" min="3" style="0" width="13"/>
    <col collapsed="false" customWidth="true" hidden="false" outlineLevel="0" max="15" min="15" style="0" width="8"/>
    <col collapsed="false" customWidth="true" hidden="false" outlineLevel="0" max="16" min="1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true" outlineLevel="0" collapsed="false">
      <c r="A5" s="4"/>
      <c r="B5" s="4"/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  <c r="O5" s="4" t="s">
        <v>30</v>
      </c>
      <c r="P5" s="4" t="s">
        <v>31</v>
      </c>
    </row>
    <row r="6" customFormat="false" ht="18.75" hidden="false" customHeight="true" outlineLevel="0" collapsed="false">
      <c r="A6" s="5" t="n">
        <v>1</v>
      </c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 t="n">
        <f aca="false">COUNTIF(C6:N6,"Done")</f>
        <v>0</v>
      </c>
      <c r="P6" s="9" t="str">
        <f aca="false">IF(COUNTA(B6)=0,"",O6/12)</f>
        <v/>
      </c>
    </row>
    <row r="7" customFormat="false" ht="18.75" hidden="false" customHeight="true" outlineLevel="0" collapsed="false">
      <c r="A7" s="5" t="n">
        <v>2</v>
      </c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8" t="n">
        <f aca="false">COUNTIF(C7:N7,"Done")</f>
        <v>0</v>
      </c>
      <c r="P7" s="9" t="str">
        <f aca="false">IF(COUNTA(B7)=0,"",O7/12)</f>
        <v/>
      </c>
    </row>
    <row r="8" customFormat="false" ht="18.75" hidden="false" customHeight="true" outlineLevel="0" collapsed="false">
      <c r="A8" s="5" t="n">
        <v>3</v>
      </c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8" t="n">
        <f aca="false">COUNTIF(C8:N8,"Done")</f>
        <v>0</v>
      </c>
      <c r="P8" s="9" t="str">
        <f aca="false">IF(COUNTA(B8)=0,"",O8/12)</f>
        <v/>
      </c>
    </row>
    <row r="9" customFormat="false" ht="18.75" hidden="false" customHeight="true" outlineLevel="0" collapsed="false">
      <c r="A9" s="5" t="n">
        <v>4</v>
      </c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 t="n">
        <f aca="false">COUNTIF(C9:N9,"Done")</f>
        <v>0</v>
      </c>
      <c r="P9" s="9" t="str">
        <f aca="false">IF(COUNTA(B9)=0,"",O9/12)</f>
        <v/>
      </c>
    </row>
    <row r="10" customFormat="false" ht="18.75" hidden="false" customHeight="true" outlineLevel="0" collapsed="false">
      <c r="A10" s="5" t="n">
        <v>5</v>
      </c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 t="n">
        <f aca="false">COUNTIF(C10:N10,"Done")</f>
        <v>0</v>
      </c>
      <c r="P10" s="9" t="str">
        <f aca="false">IF(COUNTA(B10)=0,"",O10/12)</f>
        <v/>
      </c>
    </row>
    <row r="11" customFormat="false" ht="18.75" hidden="false" customHeight="true" outlineLevel="0" collapsed="false">
      <c r="A11" s="5" t="n">
        <v>6</v>
      </c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 t="n">
        <f aca="false">COUNTIF(C11:N11,"Done")</f>
        <v>0</v>
      </c>
      <c r="P11" s="9" t="str">
        <f aca="false">IF(COUNTA(B11)=0,"",O11/12)</f>
        <v/>
      </c>
    </row>
    <row r="12" customFormat="false" ht="18.75" hidden="false" customHeight="true" outlineLevel="0" collapsed="false">
      <c r="A12" s="5" t="n">
        <v>7</v>
      </c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 t="n">
        <f aca="false">COUNTIF(C12:N12,"Done")</f>
        <v>0</v>
      </c>
      <c r="P12" s="9" t="str">
        <f aca="false">IF(COUNTA(B12)=0,"",O12/12)</f>
        <v/>
      </c>
    </row>
    <row r="13" customFormat="false" ht="18.75" hidden="false" customHeight="true" outlineLevel="0" collapsed="false">
      <c r="A13" s="5" t="n">
        <v>8</v>
      </c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 t="n">
        <f aca="false">COUNTIF(C13:N13,"Done")</f>
        <v>0</v>
      </c>
      <c r="P13" s="9" t="str">
        <f aca="false">IF(COUNTA(B13)=0,"",O13/12)</f>
        <v/>
      </c>
    </row>
    <row r="14" customFormat="false" ht="18.75" hidden="false" customHeight="true" outlineLevel="0" collapsed="false">
      <c r="A14" s="5" t="n">
        <v>9</v>
      </c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 t="n">
        <f aca="false">COUNTIF(C14:N14,"Done")</f>
        <v>0</v>
      </c>
      <c r="P14" s="9" t="str">
        <f aca="false">IF(COUNTA(B14)=0,"",O14/12)</f>
        <v/>
      </c>
    </row>
    <row r="15" customFormat="false" ht="18.75" hidden="false" customHeight="true" outlineLevel="0" collapsed="false">
      <c r="A15" s="5" t="n">
        <v>10</v>
      </c>
      <c r="B15" s="6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 t="n">
        <f aca="false">COUNTIF(C15:N15,"Done")</f>
        <v>0</v>
      </c>
      <c r="P15" s="9" t="str">
        <f aca="false">IF(COUNTA(B15)=0,"",O15/12)</f>
        <v/>
      </c>
    </row>
    <row r="16" customFormat="false" ht="18.75" hidden="false" customHeight="true" outlineLevel="0" collapsed="false">
      <c r="A16" s="5" t="n">
        <v>11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8" t="n">
        <f aca="false">COUNTIF(C16:N16,"Done")</f>
        <v>0</v>
      </c>
      <c r="P16" s="9" t="str">
        <f aca="false">IF(COUNTA(B16)=0,"",O16/12)</f>
        <v/>
      </c>
    </row>
    <row r="17" customFormat="false" ht="18.75" hidden="false" customHeight="true" outlineLevel="0" collapsed="false">
      <c r="A17" s="5" t="n">
        <v>12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 t="n">
        <f aca="false">COUNTIF(C17:N17,"Done")</f>
        <v>0</v>
      </c>
      <c r="P17" s="9" t="str">
        <f aca="false">IF(COUNTA(B17)=0,"",O17/12)</f>
        <v/>
      </c>
    </row>
    <row r="18" customFormat="false" ht="18.75" hidden="false" customHeight="true" outlineLevel="0" collapsed="false">
      <c r="A18" s="5" t="n">
        <v>13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 t="n">
        <f aca="false">COUNTIF(C18:N18,"Done")</f>
        <v>0</v>
      </c>
      <c r="P18" s="9" t="str">
        <f aca="false">IF(COUNTA(B18)=0,"",O18/12)</f>
        <v/>
      </c>
    </row>
    <row r="19" customFormat="false" ht="18.75" hidden="false" customHeight="true" outlineLevel="0" collapsed="false">
      <c r="A19" s="5" t="n">
        <v>14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8" t="n">
        <f aca="false">COUNTIF(C19:N19,"Done")</f>
        <v>0</v>
      </c>
      <c r="P19" s="9" t="str">
        <f aca="false">IF(COUNTA(B19)=0,"",O19/12)</f>
        <v/>
      </c>
    </row>
    <row r="20" customFormat="false" ht="18.75" hidden="false" customHeight="true" outlineLevel="0" collapsed="false">
      <c r="A20" s="5" t="n">
        <v>15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8" t="n">
        <f aca="false">COUNTIF(C20:N20,"Done")</f>
        <v>0</v>
      </c>
      <c r="P20" s="9" t="str">
        <f aca="false">IF(COUNTA(B20)=0,"",O20/12)</f>
        <v/>
      </c>
    </row>
    <row r="21" customFormat="false" ht="18.75" hidden="false" customHeight="true" outlineLevel="0" collapsed="false">
      <c r="A21" s="5" t="n">
        <v>16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 t="n">
        <f aca="false">COUNTIF(C21:N21,"Done")</f>
        <v>0</v>
      </c>
      <c r="P21" s="9" t="str">
        <f aca="false">IF(COUNTA(B21)=0,"",O21/12)</f>
        <v/>
      </c>
    </row>
    <row r="22" customFormat="false" ht="18.75" hidden="false" customHeight="true" outlineLevel="0" collapsed="false">
      <c r="A22" s="5" t="n">
        <v>17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8" t="n">
        <f aca="false">COUNTIF(C22:N22,"Done")</f>
        <v>0</v>
      </c>
      <c r="P22" s="9" t="str">
        <f aca="false">IF(COUNTA(B22)=0,"",O22/12)</f>
        <v/>
      </c>
    </row>
    <row r="23" customFormat="false" ht="18.75" hidden="false" customHeight="true" outlineLevel="0" collapsed="false">
      <c r="A23" s="5" t="n">
        <v>18</v>
      </c>
      <c r="B23" s="6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8" t="n">
        <f aca="false">COUNTIF(C23:N23,"Done")</f>
        <v>0</v>
      </c>
      <c r="P23" s="9" t="str">
        <f aca="false">IF(COUNTA(B23)=0,"",O23/12)</f>
        <v/>
      </c>
    </row>
    <row r="24" customFormat="false" ht="18.75" hidden="false" customHeight="true" outlineLevel="0" collapsed="false">
      <c r="A24" s="5" t="n">
        <v>19</v>
      </c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8" t="n">
        <f aca="false">COUNTIF(C24:N24,"Done")</f>
        <v>0</v>
      </c>
      <c r="P24" s="9" t="str">
        <f aca="false">IF(COUNTA(B24)=0,"",O24/12)</f>
        <v/>
      </c>
    </row>
    <row r="25" customFormat="false" ht="18.75" hidden="false" customHeight="true" outlineLevel="0" collapsed="false">
      <c r="A25" s="5" t="n">
        <v>20</v>
      </c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 t="n">
        <f aca="false">COUNTIF(C25:N25,"Done")</f>
        <v>0</v>
      </c>
      <c r="P25" s="9" t="str">
        <f aca="false">IF(COUNTA(B25)=0,"",O25/12)</f>
        <v/>
      </c>
    </row>
    <row r="26" customFormat="false" ht="18.75" hidden="false" customHeight="true" outlineLevel="0" collapsed="false">
      <c r="A26" s="5" t="n">
        <v>21</v>
      </c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 t="n">
        <f aca="false">COUNTIF(C26:N26,"Done")</f>
        <v>0</v>
      </c>
      <c r="P26" s="9" t="str">
        <f aca="false">IF(COUNTA(B26)=0,"",O26/12)</f>
        <v/>
      </c>
    </row>
    <row r="27" customFormat="false" ht="18.75" hidden="false" customHeight="true" outlineLevel="0" collapsed="false">
      <c r="A27" s="5" t="n">
        <v>22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 t="n">
        <f aca="false">COUNTIF(C27:N27,"Done")</f>
        <v>0</v>
      </c>
      <c r="P27" s="9" t="str">
        <f aca="false">IF(COUNTA(B27)=0,"",O27/12)</f>
        <v/>
      </c>
    </row>
    <row r="28" customFormat="false" ht="18.75" hidden="false" customHeight="true" outlineLevel="0" collapsed="false">
      <c r="A28" s="5" t="n">
        <v>23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 t="n">
        <f aca="false">COUNTIF(C28:N28,"Done")</f>
        <v>0</v>
      </c>
      <c r="P28" s="9" t="str">
        <f aca="false">IF(COUNTA(B28)=0,"",O28/12)</f>
        <v/>
      </c>
    </row>
    <row r="29" customFormat="false" ht="18.75" hidden="false" customHeight="true" outlineLevel="0" collapsed="false">
      <c r="A29" s="5" t="n">
        <v>24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 t="n">
        <f aca="false">COUNTIF(C29:N29,"Done")</f>
        <v>0</v>
      </c>
      <c r="P29" s="9" t="str">
        <f aca="false">IF(COUNTA(B29)=0,"",O29/12)</f>
        <v/>
      </c>
    </row>
    <row r="30" customFormat="false" ht="18.75" hidden="false" customHeight="true" outlineLevel="0" collapsed="false">
      <c r="A30" s="5" t="n">
        <v>25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 t="n">
        <f aca="false">COUNTIF(C30:N30,"Done")</f>
        <v>0</v>
      </c>
      <c r="P30" s="9" t="str">
        <f aca="false">IF(COUNTA(B30)=0,"",O30/12)</f>
        <v/>
      </c>
    </row>
    <row r="31" customFormat="false" ht="18.75" hidden="false" customHeight="true" outlineLevel="0" collapsed="false">
      <c r="A31" s="5" t="n">
        <v>26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 t="n">
        <f aca="false">COUNTIF(C31:N31,"Done")</f>
        <v>0</v>
      </c>
      <c r="P31" s="9" t="str">
        <f aca="false">IF(COUNTA(B31)=0,"",O31/12)</f>
        <v/>
      </c>
    </row>
    <row r="32" customFormat="false" ht="18.75" hidden="false" customHeight="true" outlineLevel="0" collapsed="false">
      <c r="A32" s="5" t="n">
        <v>27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 t="n">
        <f aca="false">COUNTIF(C32:N32,"Done")</f>
        <v>0</v>
      </c>
      <c r="P32" s="9" t="str">
        <f aca="false">IF(COUNTA(B32)=0,"",O32/12)</f>
        <v/>
      </c>
    </row>
    <row r="33" customFormat="false" ht="18.75" hidden="false" customHeight="true" outlineLevel="0" collapsed="false">
      <c r="A33" s="5" t="n">
        <v>28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8" t="n">
        <f aca="false">COUNTIF(C33:N33,"Done")</f>
        <v>0</v>
      </c>
      <c r="P33" s="9" t="str">
        <f aca="false">IF(COUNTA(B33)=0,"",O33/12)</f>
        <v/>
      </c>
    </row>
    <row r="34" customFormat="false" ht="18.75" hidden="false" customHeight="true" outlineLevel="0" collapsed="false">
      <c r="A34" s="5" t="n">
        <v>29</v>
      </c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n">
        <f aca="false">COUNTIF(C34:N34,"Done")</f>
        <v>0</v>
      </c>
      <c r="P34" s="9" t="str">
        <f aca="false">IF(COUNTA(B34)=0,"",O34/12)</f>
        <v/>
      </c>
    </row>
    <row r="35" customFormat="false" ht="18.75" hidden="false" customHeight="true" outlineLevel="0" collapsed="false">
      <c r="A35" s="5" t="n">
        <v>30</v>
      </c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n">
        <f aca="false">COUNTIF(C35:N35,"Done")</f>
        <v>0</v>
      </c>
      <c r="P35" s="9" t="str">
        <f aca="false">IF(COUNTA(B35)=0,"",O35/12)</f>
        <v/>
      </c>
    </row>
    <row r="36" customFormat="false" ht="18.75" hidden="false" customHeight="true" outlineLevel="0" collapsed="false">
      <c r="A36" s="5" t="n">
        <v>31</v>
      </c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n">
        <f aca="false">COUNTIF(C36:N36,"Done")</f>
        <v>0</v>
      </c>
      <c r="P36" s="9" t="str">
        <f aca="false">IF(COUNTA(B36)=0,"",O36/12)</f>
        <v/>
      </c>
    </row>
    <row r="37" customFormat="false" ht="18.75" hidden="false" customHeight="true" outlineLevel="0" collapsed="false">
      <c r="A37" s="5" t="n">
        <v>32</v>
      </c>
      <c r="B37" s="6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n">
        <f aca="false">COUNTIF(C37:N37,"Done")</f>
        <v>0</v>
      </c>
      <c r="P37" s="9" t="str">
        <f aca="false">IF(COUNTA(B37)=0,"",O37/12)</f>
        <v/>
      </c>
    </row>
    <row r="38" customFormat="false" ht="18.75" hidden="false" customHeight="true" outlineLevel="0" collapsed="false">
      <c r="A38" s="5" t="n">
        <v>33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n">
        <f aca="false">COUNTIF(C38:N38,"Done")</f>
        <v>0</v>
      </c>
      <c r="P38" s="9" t="str">
        <f aca="false">IF(COUNTA(B38)=0,"",O38/12)</f>
        <v/>
      </c>
    </row>
    <row r="39" customFormat="false" ht="18.75" hidden="false" customHeight="true" outlineLevel="0" collapsed="false">
      <c r="A39" s="5" t="n">
        <v>34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n">
        <f aca="false">COUNTIF(C39:N39,"Done")</f>
        <v>0</v>
      </c>
      <c r="P39" s="9" t="str">
        <f aca="false">IF(COUNTA(B39)=0,"",O39/12)</f>
        <v/>
      </c>
    </row>
    <row r="40" customFormat="false" ht="18.75" hidden="false" customHeight="true" outlineLevel="0" collapsed="false">
      <c r="A40" s="5" t="n">
        <v>35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n">
        <f aca="false">COUNTIF(C40:N40,"Done")</f>
        <v>0</v>
      </c>
      <c r="P40" s="9" t="str">
        <f aca="false">IF(COUNTA(B40)=0,"",O40/12)</f>
        <v/>
      </c>
    </row>
    <row r="42" customFormat="false" ht="15" hidden="false" customHeight="false" outlineLevel="0" collapsed="false">
      <c r="B42" s="10" t="s">
        <v>32</v>
      </c>
      <c r="C42" s="11" t="n">
        <f aca="false">COUNTIF(C6:C40,"Done")</f>
        <v>0</v>
      </c>
      <c r="D42" s="11" t="n">
        <f aca="false">COUNTIF(D6:D40,"Done")</f>
        <v>0</v>
      </c>
      <c r="E42" s="11" t="n">
        <f aca="false">COUNTIF(E6:E40,"Done")</f>
        <v>0</v>
      </c>
      <c r="F42" s="11" t="n">
        <f aca="false">COUNTIF(F6:F40,"Done")</f>
        <v>0</v>
      </c>
      <c r="G42" s="11" t="n">
        <f aca="false">COUNTIF(G6:G40,"Done")</f>
        <v>0</v>
      </c>
      <c r="H42" s="11" t="n">
        <f aca="false">COUNTIF(H6:H40,"Done")</f>
        <v>0</v>
      </c>
      <c r="I42" s="11" t="n">
        <f aca="false">COUNTIF(I6:I40,"Done")</f>
        <v>0</v>
      </c>
      <c r="J42" s="11" t="n">
        <f aca="false">COUNTIF(J6:J40,"Done")</f>
        <v>0</v>
      </c>
      <c r="K42" s="11" t="n">
        <f aca="false">COUNTIF(K6:K40,"Done")</f>
        <v>0</v>
      </c>
      <c r="L42" s="11" t="n">
        <f aca="false">COUNTIF(L6:L40,"Done")</f>
        <v>0</v>
      </c>
      <c r="M42" s="11" t="n">
        <f aca="false">COUNTIF(M6:M40,"Done")</f>
        <v>0</v>
      </c>
      <c r="N42" s="11" t="n">
        <f aca="false">COUNTIF(N6:N40,"Done")</f>
        <v>0</v>
      </c>
    </row>
    <row r="43" customFormat="false" ht="15" hidden="false" customHeight="false" outlineLevel="0" collapsed="false">
      <c r="B43" s="12" t="s">
        <v>33</v>
      </c>
      <c r="C43" s="13" t="n">
        <f aca="false">COUNTIF(C6:C40,"Stuck")</f>
        <v>0</v>
      </c>
      <c r="D43" s="13" t="n">
        <f aca="false">COUNTIF(D6:D40,"Stuck")</f>
        <v>0</v>
      </c>
      <c r="E43" s="13" t="n">
        <f aca="false">COUNTIF(E6:E40,"Stuck")</f>
        <v>0</v>
      </c>
      <c r="F43" s="13" t="n">
        <f aca="false">COUNTIF(F6:F40,"Stuck")</f>
        <v>0</v>
      </c>
      <c r="G43" s="13" t="n">
        <f aca="false">COUNTIF(G6:G40,"Stuck")</f>
        <v>0</v>
      </c>
      <c r="H43" s="13" t="n">
        <f aca="false">COUNTIF(H6:H40,"Stuck")</f>
        <v>0</v>
      </c>
      <c r="I43" s="13" t="n">
        <f aca="false">COUNTIF(I6:I40,"Stuck")</f>
        <v>0</v>
      </c>
      <c r="J43" s="13" t="n">
        <f aca="false">COUNTIF(J6:J40,"Stuck")</f>
        <v>0</v>
      </c>
      <c r="K43" s="13" t="n">
        <f aca="false">COUNTIF(K6:K40,"Stuck")</f>
        <v>0</v>
      </c>
      <c r="L43" s="13" t="n">
        <f aca="false">COUNTIF(L6:L40,"Stuck")</f>
        <v>0</v>
      </c>
      <c r="M43" s="13" t="n">
        <f aca="false">COUNTIF(M6:M40,"Stuck")</f>
        <v>0</v>
      </c>
      <c r="N43" s="13" t="n">
        <f aca="false">COUNTIF(N6:N40,"Stuck")</f>
        <v>0</v>
      </c>
    </row>
  </sheetData>
  <mergeCells count="2">
    <mergeCell ref="A1:P1"/>
    <mergeCell ref="A2:P2"/>
  </mergeCells>
  <conditionalFormatting sqref="C6:N40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"Stuck"</formula>
    </cfRule>
    <cfRule type="cellIs" priority="5" operator="equal" aboveAverage="0" equalAverage="0" bottom="0" percent="0" rank="0" text="" dxfId="3">
      <formula>"Not started"</formula>
    </cfRule>
  </conditionalFormatting>
  <conditionalFormatting sqref="P6:P40">
    <cfRule type="dataBar" priority="6">
      <dataBar showValue="1" minLength="10" maxLength="90">
        <cfvo type="num" val="0"/>
        <cfvo type="num" val="1"/>
        <color rgb="FF6AB86E"/>
      </dataBar>
      <extLst>
        <ext xmlns:x14="http://schemas.microsoft.com/office/spreadsheetml/2009/9/main" uri="{B025F937-C7B1-47D3-B67F-A62EFF666E3E}">
          <x14:id>{C1C214D1-8300-4632-ADD0-4E6E84B739C9}</x14:id>
        </ext>
      </extLst>
    </cfRule>
  </conditionalFormatting>
  <dataValidations count="1">
    <dataValidation allowBlank="true" error="Choose one of the four statuses." errorStyle="stop" errorTitle="Invalid status" operator="between" showDropDown="false" showErrorMessage="false" showInputMessage="false" sqref="C6:N40" type="list">
      <formula1>"Not started,In progress,Done,Stuck"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C214D1-8300-4632-ADD0-4E6E84B739C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AB86E"/>
              <x14:axisColor rgb="FF000000"/>
            </x14:dataBar>
          </x14:cfRule>
          <xm:sqref>P6:P40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4" t="s">
        <v>35</v>
      </c>
      <c r="B2" s="14"/>
      <c r="C2" s="14"/>
      <c r="D2" s="14"/>
      <c r="E2" s="14"/>
      <c r="F2" s="14"/>
    </row>
    <row r="4" customFormat="false" ht="24" hidden="false" customHeight="true" outlineLevel="0" collapsed="false">
      <c r="A4" s="3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</row>
    <row r="5" customFormat="false" ht="18.75" hidden="false" customHeight="true" outlineLevel="0" collapsed="false">
      <c r="A5" s="15" t="s">
        <v>42</v>
      </c>
      <c r="B5" s="16" t="n">
        <f aca="false">COUNTIF('Class Tracker'!C6:C40,"Not started")</f>
        <v>0</v>
      </c>
      <c r="C5" s="16" t="n">
        <f aca="false">COUNTIF('Class Tracker'!C6:C40,"In progress")</f>
        <v>0</v>
      </c>
      <c r="D5" s="16" t="n">
        <f aca="false">COUNTIF('Class Tracker'!C6:C40,"Done")</f>
        <v>0</v>
      </c>
      <c r="E5" s="16" t="n">
        <f aca="false">COUNTIF('Class Tracker'!C6:C40,"Stuck")</f>
        <v>0</v>
      </c>
      <c r="F5" s="17" t="str">
        <f aca="false">IF(COUNTA('Class Tracker'!B6:B40)=0,"",B5/COUNTA('Class Tracker'!B6:B40))</f>
        <v/>
      </c>
    </row>
    <row r="6" customFormat="false" ht="18.75" hidden="false" customHeight="true" outlineLevel="0" collapsed="false">
      <c r="A6" s="18" t="s">
        <v>43</v>
      </c>
      <c r="B6" s="19" t="n">
        <f aca="false">COUNTIF('Class Tracker'!D6:D40,"Not started")</f>
        <v>0</v>
      </c>
      <c r="C6" s="19" t="n">
        <f aca="false">COUNTIF('Class Tracker'!D6:D40,"In progress")</f>
        <v>0</v>
      </c>
      <c r="D6" s="19" t="n">
        <f aca="false">COUNTIF('Class Tracker'!D6:D40,"Done")</f>
        <v>0</v>
      </c>
      <c r="E6" s="19" t="n">
        <f aca="false">COUNTIF('Class Tracker'!D6:D40,"Stuck")</f>
        <v>0</v>
      </c>
      <c r="F6" s="20" t="str">
        <f aca="false">IF(COUNTA('Class Tracker'!B6:B40)=0,"",B6/COUNTA('Class Tracker'!B6:B40))</f>
        <v/>
      </c>
    </row>
    <row r="7" customFormat="false" ht="18.75" hidden="false" customHeight="true" outlineLevel="0" collapsed="false">
      <c r="A7" s="15" t="s">
        <v>44</v>
      </c>
      <c r="B7" s="16" t="n">
        <f aca="false">COUNTIF('Class Tracker'!E6:E40,"Not started")</f>
        <v>0</v>
      </c>
      <c r="C7" s="16" t="n">
        <f aca="false">COUNTIF('Class Tracker'!E6:E40,"In progress")</f>
        <v>0</v>
      </c>
      <c r="D7" s="16" t="n">
        <f aca="false">COUNTIF('Class Tracker'!E6:E40,"Done")</f>
        <v>0</v>
      </c>
      <c r="E7" s="16" t="n">
        <f aca="false">COUNTIF('Class Tracker'!E6:E40,"Stuck")</f>
        <v>0</v>
      </c>
      <c r="F7" s="17" t="str">
        <f aca="false">IF(COUNTA('Class Tracker'!B6:B40)=0,"",B7/COUNTA('Class Tracker'!B6:B40))</f>
        <v/>
      </c>
    </row>
    <row r="8" customFormat="false" ht="18.75" hidden="false" customHeight="true" outlineLevel="0" collapsed="false">
      <c r="A8" s="18" t="s">
        <v>45</v>
      </c>
      <c r="B8" s="19" t="n">
        <f aca="false">COUNTIF('Class Tracker'!F6:F40,"Not started")</f>
        <v>0</v>
      </c>
      <c r="C8" s="19" t="n">
        <f aca="false">COUNTIF('Class Tracker'!F6:F40,"In progress")</f>
        <v>0</v>
      </c>
      <c r="D8" s="19" t="n">
        <f aca="false">COUNTIF('Class Tracker'!F6:F40,"Done")</f>
        <v>0</v>
      </c>
      <c r="E8" s="19" t="n">
        <f aca="false">COUNTIF('Class Tracker'!F6:F40,"Stuck")</f>
        <v>0</v>
      </c>
      <c r="F8" s="20" t="str">
        <f aca="false">IF(COUNTA('Class Tracker'!B6:B40)=0,"",B8/COUNTA('Class Tracker'!B6:B40))</f>
        <v/>
      </c>
    </row>
    <row r="9" customFormat="false" ht="18.75" hidden="false" customHeight="true" outlineLevel="0" collapsed="false">
      <c r="A9" s="15" t="s">
        <v>46</v>
      </c>
      <c r="B9" s="16" t="n">
        <f aca="false">COUNTIF('Class Tracker'!G6:G40,"Not started")</f>
        <v>0</v>
      </c>
      <c r="C9" s="16" t="n">
        <f aca="false">COUNTIF('Class Tracker'!G6:G40,"In progress")</f>
        <v>0</v>
      </c>
      <c r="D9" s="16" t="n">
        <f aca="false">COUNTIF('Class Tracker'!G6:G40,"Done")</f>
        <v>0</v>
      </c>
      <c r="E9" s="16" t="n">
        <f aca="false">COUNTIF('Class Tracker'!G6:G40,"Stuck")</f>
        <v>0</v>
      </c>
      <c r="F9" s="17" t="str">
        <f aca="false">IF(COUNTA('Class Tracker'!B6:B40)=0,"",B9/COUNTA('Class Tracker'!B6:B40))</f>
        <v/>
      </c>
    </row>
    <row r="10" customFormat="false" ht="18.75" hidden="false" customHeight="true" outlineLevel="0" collapsed="false">
      <c r="A10" s="18" t="s">
        <v>47</v>
      </c>
      <c r="B10" s="19" t="n">
        <f aca="false">COUNTIF('Class Tracker'!H6:H40,"Not started")</f>
        <v>0</v>
      </c>
      <c r="C10" s="19" t="n">
        <f aca="false">COUNTIF('Class Tracker'!H6:H40,"In progress")</f>
        <v>0</v>
      </c>
      <c r="D10" s="19" t="n">
        <f aca="false">COUNTIF('Class Tracker'!H6:H40,"Done")</f>
        <v>0</v>
      </c>
      <c r="E10" s="19" t="n">
        <f aca="false">COUNTIF('Class Tracker'!H6:H40,"Stuck")</f>
        <v>0</v>
      </c>
      <c r="F10" s="20" t="str">
        <f aca="false">IF(COUNTA('Class Tracker'!B6:B40)=0,"",B10/COUNTA('Class Tracker'!B6:B40))</f>
        <v/>
      </c>
    </row>
    <row r="11" customFormat="false" ht="18.75" hidden="false" customHeight="true" outlineLevel="0" collapsed="false">
      <c r="A11" s="15" t="s">
        <v>48</v>
      </c>
      <c r="B11" s="16" t="n">
        <f aca="false">COUNTIF('Class Tracker'!I6:I40,"Not started")</f>
        <v>0</v>
      </c>
      <c r="C11" s="16" t="n">
        <f aca="false">COUNTIF('Class Tracker'!I6:I40,"In progress")</f>
        <v>0</v>
      </c>
      <c r="D11" s="16" t="n">
        <f aca="false">COUNTIF('Class Tracker'!I6:I40,"Done")</f>
        <v>0</v>
      </c>
      <c r="E11" s="16" t="n">
        <f aca="false">COUNTIF('Class Tracker'!I6:I40,"Stuck")</f>
        <v>0</v>
      </c>
      <c r="F11" s="17" t="str">
        <f aca="false">IF(COUNTA('Class Tracker'!B6:B40)=0,"",B11/COUNTA('Class Tracker'!B6:B40))</f>
        <v/>
      </c>
    </row>
    <row r="12" customFormat="false" ht="18.75" hidden="false" customHeight="true" outlineLevel="0" collapsed="false">
      <c r="A12" s="18" t="s">
        <v>49</v>
      </c>
      <c r="B12" s="19" t="n">
        <f aca="false">COUNTIF('Class Tracker'!J6:J40,"Not started")</f>
        <v>0</v>
      </c>
      <c r="C12" s="19" t="n">
        <f aca="false">COUNTIF('Class Tracker'!J6:J40,"In progress")</f>
        <v>0</v>
      </c>
      <c r="D12" s="19" t="n">
        <f aca="false">COUNTIF('Class Tracker'!J6:J40,"Done")</f>
        <v>0</v>
      </c>
      <c r="E12" s="19" t="n">
        <f aca="false">COUNTIF('Class Tracker'!J6:J40,"Stuck")</f>
        <v>0</v>
      </c>
      <c r="F12" s="20" t="str">
        <f aca="false">IF(COUNTA('Class Tracker'!B6:B40)=0,"",B12/COUNTA('Class Tracker'!B6:B40))</f>
        <v/>
      </c>
    </row>
    <row r="13" customFormat="false" ht="18.75" hidden="false" customHeight="true" outlineLevel="0" collapsed="false">
      <c r="A13" s="15" t="s">
        <v>50</v>
      </c>
      <c r="B13" s="16" t="n">
        <f aca="false">COUNTIF('Class Tracker'!K6:K40,"Not started")</f>
        <v>0</v>
      </c>
      <c r="C13" s="16" t="n">
        <f aca="false">COUNTIF('Class Tracker'!K6:K40,"In progress")</f>
        <v>0</v>
      </c>
      <c r="D13" s="16" t="n">
        <f aca="false">COUNTIF('Class Tracker'!K6:K40,"Done")</f>
        <v>0</v>
      </c>
      <c r="E13" s="16" t="n">
        <f aca="false">COUNTIF('Class Tracker'!K6:K40,"Stuck")</f>
        <v>0</v>
      </c>
      <c r="F13" s="17" t="str">
        <f aca="false">IF(COUNTA('Class Tracker'!B6:B40)=0,"",B13/COUNTA('Class Tracker'!B6:B40))</f>
        <v/>
      </c>
    </row>
    <row r="14" customFormat="false" ht="18.75" hidden="false" customHeight="true" outlineLevel="0" collapsed="false">
      <c r="A14" s="18" t="s">
        <v>51</v>
      </c>
      <c r="B14" s="19" t="n">
        <f aca="false">COUNTIF('Class Tracker'!L6:L40,"Not started")</f>
        <v>0</v>
      </c>
      <c r="C14" s="19" t="n">
        <f aca="false">COUNTIF('Class Tracker'!L6:L40,"In progress")</f>
        <v>0</v>
      </c>
      <c r="D14" s="19" t="n">
        <f aca="false">COUNTIF('Class Tracker'!L6:L40,"Done")</f>
        <v>0</v>
      </c>
      <c r="E14" s="19" t="n">
        <f aca="false">COUNTIF('Class Tracker'!L6:L40,"Stuck")</f>
        <v>0</v>
      </c>
      <c r="F14" s="20" t="str">
        <f aca="false">IF(COUNTA('Class Tracker'!B6:B40)=0,"",B14/COUNTA('Class Tracker'!B6:B40))</f>
        <v/>
      </c>
    </row>
    <row r="15" customFormat="false" ht="18.75" hidden="false" customHeight="true" outlineLevel="0" collapsed="false">
      <c r="A15" s="15" t="s">
        <v>52</v>
      </c>
      <c r="B15" s="16" t="n">
        <f aca="false">COUNTIF('Class Tracker'!M6:M40,"Not started")</f>
        <v>0</v>
      </c>
      <c r="C15" s="16" t="n">
        <f aca="false">COUNTIF('Class Tracker'!M6:M40,"In progress")</f>
        <v>0</v>
      </c>
      <c r="D15" s="16" t="n">
        <f aca="false">COUNTIF('Class Tracker'!M6:M40,"Done")</f>
        <v>0</v>
      </c>
      <c r="E15" s="16" t="n">
        <f aca="false">COUNTIF('Class Tracker'!M6:M40,"Stuck")</f>
        <v>0</v>
      </c>
      <c r="F15" s="17" t="str">
        <f aca="false">IF(COUNTA('Class Tracker'!B6:B40)=0,"",B15/COUNTA('Class Tracker'!B6:B40))</f>
        <v/>
      </c>
    </row>
    <row r="16" customFormat="false" ht="18.75" hidden="false" customHeight="true" outlineLevel="0" collapsed="false">
      <c r="A16" s="18" t="s">
        <v>53</v>
      </c>
      <c r="B16" s="19" t="n">
        <f aca="false">COUNTIF('Class Tracker'!N6:N40,"Not started")</f>
        <v>0</v>
      </c>
      <c r="C16" s="19" t="n">
        <f aca="false">COUNTIF('Class Tracker'!N6:N40,"In progress")</f>
        <v>0</v>
      </c>
      <c r="D16" s="19" t="n">
        <f aca="false">COUNTIF('Class Tracker'!N6:N40,"Done")</f>
        <v>0</v>
      </c>
      <c r="E16" s="19" t="n">
        <f aca="false">COUNTIF('Class Tracker'!N6:N40,"Stuck")</f>
        <v>0</v>
      </c>
      <c r="F16" s="20" t="str">
        <f aca="false">IF(COUNTA('Class Tracker'!B6:B40)=0,"",B16/COUNTA('Class Tracker'!B6:B40))</f>
        <v/>
      </c>
    </row>
    <row r="18" customFormat="false" ht="15" hidden="false" customHeight="false" outlineLevel="0" collapsed="false">
      <c r="A18" s="21" t="s">
        <v>54</v>
      </c>
    </row>
    <row r="19" customFormat="false" ht="15" hidden="false" customHeight="false" outlineLevel="0" collapsed="false">
      <c r="A19" s="22" t="s">
        <v>55</v>
      </c>
      <c r="B19" s="23" t="n">
        <f aca="false">COUNTA('Class Tracker'!B6:B40)</f>
        <v>0</v>
      </c>
    </row>
    <row r="20" customFormat="false" ht="15" hidden="false" customHeight="false" outlineLevel="0" collapsed="false">
      <c r="A20" s="22" t="s">
        <v>56</v>
      </c>
      <c r="B20" s="23" t="n">
        <f aca="false">COUNTIF('Class Tracker'!O6:O40,12)</f>
        <v>0</v>
      </c>
    </row>
    <row r="21" customFormat="false" ht="15" hidden="false" customHeight="false" outlineLevel="0" collapsed="false">
      <c r="A21" s="22" t="s">
        <v>57</v>
      </c>
      <c r="B21" s="23" t="n">
        <f aca="true">SUMPRODUCT(--(COUNTIF(OFFSET('Class Tracker'!C6,ROW('Class Tracker'!C6:C40)-ROW('Class Tracker'!C6),0,1,12),"Stuck")&gt;0))</f>
        <v>0</v>
      </c>
    </row>
    <row r="22" customFormat="false" ht="15" hidden="false" customHeight="false" outlineLevel="0" collapsed="false">
      <c r="A22" s="22" t="s">
        <v>58</v>
      </c>
      <c r="B22" s="24" t="str">
        <f aca="false">IF(COUNTA('Class Tracker'!B6:B40)=0,"",AVERAGE('Class Tracker'!P6:P40))</f>
        <v/>
      </c>
    </row>
    <row r="24" customFormat="false" ht="15" hidden="false" customHeight="false" outlineLevel="0" collapsed="false">
      <c r="A24" s="25" t="s">
        <v>59</v>
      </c>
    </row>
    <row r="25" customFormat="false" ht="15" hidden="false" customHeight="false" outlineLevel="0" collapsed="false">
      <c r="A25" s="26" t="s">
        <v>60</v>
      </c>
      <c r="B25" s="26"/>
      <c r="C25" s="26"/>
      <c r="D25" s="26"/>
      <c r="E25" s="26"/>
      <c r="F25" s="26"/>
    </row>
    <row r="26" customFormat="false" ht="15" hidden="false" customHeight="false" outlineLevel="0" collapsed="false">
      <c r="A26" s="26" t="s">
        <v>61</v>
      </c>
      <c r="B26" s="26"/>
      <c r="C26" s="26"/>
      <c r="D26" s="26"/>
      <c r="E26" s="26"/>
      <c r="F26" s="26"/>
    </row>
    <row r="27" customFormat="false" ht="15" hidden="false" customHeight="false" outlineLevel="0" collapsed="false">
      <c r="A27" s="26" t="s">
        <v>62</v>
      </c>
      <c r="B27" s="26"/>
      <c r="C27" s="26"/>
      <c r="D27" s="26"/>
      <c r="E27" s="26"/>
      <c r="F27" s="26"/>
    </row>
    <row r="28" customFormat="false" ht="15" hidden="false" customHeight="false" outlineLevel="0" collapsed="false">
      <c r="A28" s="26" t="s">
        <v>63</v>
      </c>
      <c r="B28" s="26"/>
      <c r="C28" s="26"/>
      <c r="D28" s="26"/>
      <c r="E28" s="26"/>
      <c r="F28" s="26"/>
    </row>
  </sheetData>
  <mergeCells count="6">
    <mergeCell ref="A1:F1"/>
    <mergeCell ref="A2:F2"/>
    <mergeCell ref="A25:F25"/>
    <mergeCell ref="A26:F26"/>
    <mergeCell ref="A27:F27"/>
    <mergeCell ref="A28:F28"/>
  </mergeCells>
  <conditionalFormatting sqref="F5:F16">
    <cfRule type="dataBar" priority="2">
      <dataBar showValue="1" minLength="10" maxLength="90">
        <cfvo type="num" val="0"/>
        <cfvo type="num" val="1"/>
        <color rgb="FF6AB86E"/>
      </dataBar>
      <extLst>
        <ext xmlns:x14="http://schemas.microsoft.com/office/spreadsheetml/2009/9/main" uri="{B025F937-C7B1-47D3-B67F-A62EFF666E3E}">
          <x14:id>{5F9D2611-3585-4797-A56B-29C17DF62863}</x14:id>
        </ext>
      </extLst>
    </cfRule>
  </conditionalFormatting>
  <conditionalFormatting sqref="D5:D16">
    <cfRule type="cellIs" priority="3" operator="greater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9D2611-3585-4797-A56B-29C17DF6286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AB86E"/>
              <x14:axisColor rgb="FF000000"/>
            </x14:dataBar>
          </x14:cfRule>
          <xm:sqref>F5:F16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30" hidden="false" customHeight="true" outlineLevel="0" collapsed="false">
      <c r="A1" s="1" t="s">
        <v>64</v>
      </c>
      <c r="B1" s="1"/>
      <c r="C1" s="1"/>
      <c r="D1" s="1"/>
    </row>
    <row r="2" customFormat="false" ht="15" hidden="false" customHeight="false" outlineLevel="0" collapsed="false">
      <c r="A2" s="14" t="s">
        <v>65</v>
      </c>
      <c r="B2" s="14"/>
      <c r="C2" s="14"/>
      <c r="D2" s="14"/>
    </row>
    <row r="4" customFormat="false" ht="15" hidden="false" customHeight="false" outlineLevel="0" collapsed="false">
      <c r="A4" s="27" t="s">
        <v>66</v>
      </c>
      <c r="B4" s="28"/>
    </row>
    <row r="6" customFormat="false" ht="15" hidden="false" customHeight="false" outlineLevel="0" collapsed="false">
      <c r="A6" s="29" t="s">
        <v>67</v>
      </c>
      <c r="B6" s="29" t="s">
        <v>68</v>
      </c>
      <c r="C6" s="29" t="s">
        <v>69</v>
      </c>
      <c r="D6" s="29" t="s">
        <v>70</v>
      </c>
    </row>
    <row r="7" customFormat="false" ht="21" hidden="false" customHeight="true" outlineLevel="0" collapsed="false">
      <c r="A7" s="15" t="s">
        <v>4</v>
      </c>
      <c r="B7" s="6"/>
      <c r="C7" s="30"/>
      <c r="D7" s="6"/>
    </row>
    <row r="8" customFormat="false" ht="21" hidden="false" customHeight="true" outlineLevel="0" collapsed="false">
      <c r="A8" s="18" t="s">
        <v>5</v>
      </c>
      <c r="B8" s="31"/>
      <c r="C8" s="32"/>
      <c r="D8" s="31"/>
    </row>
    <row r="9" customFormat="false" ht="21" hidden="false" customHeight="true" outlineLevel="0" collapsed="false">
      <c r="A9" s="15" t="s">
        <v>6</v>
      </c>
      <c r="B9" s="6"/>
      <c r="C9" s="30"/>
      <c r="D9" s="6"/>
    </row>
    <row r="10" customFormat="false" ht="21" hidden="false" customHeight="true" outlineLevel="0" collapsed="false">
      <c r="A10" s="18" t="s">
        <v>7</v>
      </c>
      <c r="B10" s="31"/>
      <c r="C10" s="32"/>
      <c r="D10" s="31"/>
    </row>
    <row r="11" customFormat="false" ht="21" hidden="false" customHeight="true" outlineLevel="0" collapsed="false">
      <c r="A11" s="15" t="s">
        <v>8</v>
      </c>
      <c r="B11" s="6"/>
      <c r="C11" s="30"/>
      <c r="D11" s="6"/>
    </row>
    <row r="12" customFormat="false" ht="21" hidden="false" customHeight="true" outlineLevel="0" collapsed="false">
      <c r="A12" s="18" t="s">
        <v>9</v>
      </c>
      <c r="B12" s="31"/>
      <c r="C12" s="32"/>
      <c r="D12" s="31"/>
    </row>
    <row r="13" customFormat="false" ht="21" hidden="false" customHeight="true" outlineLevel="0" collapsed="false">
      <c r="A13" s="15" t="s">
        <v>10</v>
      </c>
      <c r="B13" s="6"/>
      <c r="C13" s="30"/>
      <c r="D13" s="6"/>
    </row>
    <row r="14" customFormat="false" ht="21" hidden="false" customHeight="true" outlineLevel="0" collapsed="false">
      <c r="A14" s="18" t="s">
        <v>11</v>
      </c>
      <c r="B14" s="31"/>
      <c r="C14" s="32"/>
      <c r="D14" s="31"/>
    </row>
    <row r="15" customFormat="false" ht="21" hidden="false" customHeight="true" outlineLevel="0" collapsed="false">
      <c r="A15" s="15" t="s">
        <v>12</v>
      </c>
      <c r="B15" s="6"/>
      <c r="C15" s="30"/>
      <c r="D15" s="6"/>
    </row>
    <row r="16" customFormat="false" ht="21" hidden="false" customHeight="true" outlineLevel="0" collapsed="false">
      <c r="A16" s="18" t="s">
        <v>13</v>
      </c>
      <c r="B16" s="31"/>
      <c r="C16" s="32"/>
      <c r="D16" s="31"/>
    </row>
    <row r="17" customFormat="false" ht="21" hidden="false" customHeight="true" outlineLevel="0" collapsed="false">
      <c r="A17" s="15" t="s">
        <v>14</v>
      </c>
      <c r="B17" s="6"/>
      <c r="C17" s="30"/>
      <c r="D17" s="6"/>
    </row>
    <row r="18" customFormat="false" ht="21" hidden="false" customHeight="true" outlineLevel="0" collapsed="false">
      <c r="A18" s="18" t="s">
        <v>15</v>
      </c>
      <c r="B18" s="31"/>
      <c r="C18" s="32"/>
      <c r="D18" s="31"/>
    </row>
  </sheetData>
  <mergeCells count="2">
    <mergeCell ref="A1:D1"/>
    <mergeCell ref="A2:D2"/>
  </mergeCells>
  <conditionalFormatting sqref="C7:C18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4">
      <formula>"Stuck"</formula>
    </cfRule>
  </conditionalFormatting>
  <dataValidations count="1">
    <dataValidation allowBlank="true" errorStyle="stop" operator="between" showDropDown="false" showErrorMessage="false" showInputMessage="false" sqref="C7:C18" type="list">
      <formula1>"Not started,In progress,Done,Stuck"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2026-07-27T18:48:43Z</dcterms:created>
  <dc:creator>openpyxl</dc:creator>
  <dc:description/>
  <dc:language>en-US</dc:language>
  <cp:lastModifiedBy/>
  <dcterms:modified xsi:type="dcterms:W3CDTF">2026-07-27T18:48:43Z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